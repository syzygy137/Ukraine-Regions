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oVU3iRUEJAKGUaWTHQ3hBKnxHhUrAUhd2/+MivM5CM4="/>
    </ext>
  </extLst>
</workbook>
</file>

<file path=xl/sharedStrings.xml><?xml version="1.0" encoding="utf-8"?>
<sst xmlns="http://schemas.openxmlformats.org/spreadsheetml/2006/main" count="86" uniqueCount="51">
  <si>
    <t>Table 1</t>
  </si>
  <si>
    <t>Region</t>
  </si>
  <si>
    <r>
      <rPr>
        <rFont val="Times New Roman"/>
        <b val="0"/>
        <color rgb="FF000000"/>
        <sz val="14.0"/>
      </rPr>
      <t xml:space="preserve">Masonry width,                </t>
    </r>
    <r>
      <rPr>
        <rFont val="Times New Roman"/>
        <b/>
        <i/>
        <color rgb="FF000000"/>
        <sz val="16.0"/>
      </rPr>
      <t xml:space="preserve">B, </t>
    </r>
    <r>
      <rPr>
        <rFont val="Times New Roman"/>
        <b val="0"/>
        <color rgb="FF000000"/>
        <sz val="16.0"/>
      </rPr>
      <t> </t>
    </r>
    <r>
      <rPr>
        <rFont val="Times New Roman"/>
        <b val="0"/>
        <color rgb="FF000000"/>
        <sz val="14.0"/>
      </rPr>
      <t>м</t>
    </r>
  </si>
  <si>
    <r>
      <rPr>
        <rFont val="Times New Roman"/>
        <b val="0"/>
        <color rgb="FF000000"/>
        <sz val="14.0"/>
      </rPr>
      <t xml:space="preserve">Gross straw harvest, </t>
    </r>
    <r>
      <rPr>
        <rFont val="Times New Roman"/>
        <b/>
        <i/>
        <color rgb="FF000000"/>
        <sz val="14.0"/>
      </rPr>
      <t>thousand tons</t>
    </r>
  </si>
  <si>
    <r>
      <rPr>
        <rFont val="Times New Roman"/>
        <b val="0"/>
        <color rgb="FF000000"/>
        <sz val="14.0"/>
      </rPr>
      <t>Cost* of basic materials in blocks</t>
    </r>
    <r>
      <rPr>
        <rFont val="Times New Roman"/>
        <b/>
        <i/>
        <color rgb="FF000000"/>
        <sz val="14.0"/>
      </rPr>
      <t xml:space="preserve"> m</t>
    </r>
    <r>
      <rPr>
        <rFont val="Times New Roman"/>
        <b/>
        <i/>
        <color rgb="FF000000"/>
        <sz val="12.0"/>
        <vertAlign val="subscript"/>
      </rPr>
      <t>1</t>
    </r>
    <r>
      <rPr>
        <rFont val="Times New Roman"/>
        <b/>
        <i/>
        <color rgb="FF000000"/>
        <sz val="14.0"/>
      </rPr>
      <t>,   </t>
    </r>
    <r>
      <rPr>
        <rFont val="Times New Roman"/>
        <b/>
        <i/>
        <color rgb="FF000000"/>
        <sz val="16.0"/>
      </rPr>
      <t>(UAH/м</t>
    </r>
    <r>
      <rPr>
        <rFont val="Times New Roman"/>
        <b/>
        <i/>
        <color rgb="FF000000"/>
        <sz val="13.0"/>
        <vertAlign val="superscript"/>
      </rPr>
      <t>2</t>
    </r>
    <r>
      <rPr>
        <rFont val="Times New Roman"/>
        <b/>
        <i/>
        <color rgb="FF000000"/>
        <sz val="16.0"/>
      </rPr>
      <t>)</t>
    </r>
  </si>
  <si>
    <r>
      <rPr>
        <rFont val="Times New Roman"/>
        <b val="0"/>
        <color rgb="FFED220B"/>
        <sz val="14.0"/>
      </rPr>
      <t>Distance to region with excess straw production</t>
    </r>
    <r>
      <rPr>
        <rFont val="Times New Roman"/>
        <b/>
        <i/>
        <color rgb="FFED220B"/>
        <sz val="16.0"/>
      </rPr>
      <t xml:space="preserve"> (KM)</t>
    </r>
  </si>
  <si>
    <t>NEW m2</t>
  </si>
  <si>
    <r>
      <rPr>
        <rFont val="Times New Roman"/>
        <b val="0"/>
        <color rgb="FF000000"/>
        <sz val="14.0"/>
      </rPr>
      <t>Cost* of straw transportation,</t>
    </r>
    <r>
      <rPr>
        <rFont val="Times New Roman"/>
        <b/>
        <i/>
        <color rgb="FF000000"/>
        <sz val="16.0"/>
      </rPr>
      <t xml:space="preserve"> m</t>
    </r>
    <r>
      <rPr>
        <rFont val="Times New Roman"/>
        <b/>
        <i/>
        <color rgb="FF000000"/>
        <sz val="16.0"/>
        <vertAlign val="subscript"/>
      </rPr>
      <t>2</t>
    </r>
    <r>
      <rPr>
        <rFont val="Times New Roman"/>
        <b val="0"/>
        <color rgb="FF000000"/>
        <sz val="16.0"/>
      </rPr>
      <t>,</t>
    </r>
    <r>
      <rPr>
        <rFont val="Times New Roman"/>
        <b/>
        <i/>
        <color rgb="FF000000"/>
        <sz val="16.0"/>
      </rPr>
      <t xml:space="preserve"> </t>
    </r>
    <r>
      <rPr>
        <rFont val="Calibri"/>
        <b val="0"/>
        <color rgb="FF000000"/>
        <sz val="14.0"/>
      </rPr>
      <t xml:space="preserve">
</t>
    </r>
    <r>
      <rPr>
        <rFont val="Times New Roman"/>
        <b/>
        <i/>
        <color rgb="FF000000"/>
        <sz val="16.0"/>
      </rPr>
      <t>(UAH/м</t>
    </r>
    <r>
      <rPr>
        <rFont val="Times New Roman"/>
        <b/>
        <i/>
        <color rgb="FF000000"/>
        <sz val="13.0"/>
        <vertAlign val="superscript"/>
      </rPr>
      <t>2</t>
    </r>
    <r>
      <rPr>
        <rFont val="Times New Roman"/>
        <b/>
        <i/>
        <color rgb="FF000000"/>
        <sz val="16.0"/>
      </rPr>
      <t>)</t>
    </r>
  </si>
  <si>
    <r>
      <rPr>
        <rFont val="Times New Roman"/>
        <b val="0"/>
        <color rgb="FF000000"/>
        <sz val="14.0"/>
      </rPr>
      <t xml:space="preserve">Cost* of straw storage in warehouses, </t>
    </r>
    <r>
      <rPr>
        <rFont val="Times New Roman"/>
        <b/>
        <i/>
        <color rgb="FF000000"/>
        <sz val="16.0"/>
      </rPr>
      <t>m</t>
    </r>
    <r>
      <rPr>
        <rFont val="Times New Roman"/>
        <b/>
        <i/>
        <color rgb="FF000000"/>
        <sz val="16.0"/>
        <vertAlign val="subscript"/>
      </rPr>
      <t xml:space="preserve">3,  </t>
    </r>
    <r>
      <rPr>
        <rFont val="Times New Roman"/>
        <b val="0"/>
        <color rgb="FF000000"/>
        <sz val="16.0"/>
      </rPr>
      <t>(</t>
    </r>
    <r>
      <rPr>
        <rFont val="Times New Roman"/>
        <b/>
        <i/>
        <color rgb="FF000000"/>
        <sz val="16.0"/>
      </rPr>
      <t>UAH/м</t>
    </r>
    <r>
      <rPr>
        <rFont val="Times New Roman"/>
        <b/>
        <i/>
        <color rgb="FF000000"/>
        <sz val="13.0"/>
        <vertAlign val="superscript"/>
      </rPr>
      <t>2</t>
    </r>
    <r>
      <rPr>
        <rFont val="Times New Roman"/>
        <b/>
        <i/>
        <color rgb="FF000000"/>
        <sz val="16.0"/>
      </rPr>
      <t>)</t>
    </r>
  </si>
  <si>
    <t>N</t>
  </si>
  <si>
    <t>New N</t>
  </si>
  <si>
    <t>Dnipropetrovsk</t>
  </si>
  <si>
    <t>0,34</t>
  </si>
  <si>
    <t>68/113,33</t>
  </si>
  <si>
    <t>Donetsk</t>
  </si>
  <si>
    <t>Mykolaiv</t>
  </si>
  <si>
    <t>Odessa</t>
  </si>
  <si>
    <t>Kherson</t>
  </si>
  <si>
    <t>Zaporizhzhia</t>
  </si>
  <si>
    <t>Vinnytsia</t>
  </si>
  <si>
    <t>0,40</t>
  </si>
  <si>
    <t>80/133,33</t>
  </si>
  <si>
    <t>Transcarpathian</t>
  </si>
  <si>
    <t>Kirovohrad</t>
  </si>
  <si>
    <t>Poltava</t>
  </si>
  <si>
    <t>Cherkasy</t>
  </si>
  <si>
    <t>Kharkiv</t>
  </si>
  <si>
    <t>0,45</t>
  </si>
  <si>
    <t>90/150,00</t>
  </si>
  <si>
    <t>Khmelnytskyi</t>
  </si>
  <si>
    <t>Luhansk</t>
  </si>
  <si>
    <t>Kyiv</t>
  </si>
  <si>
    <t>0,51</t>
  </si>
  <si>
    <t>102/170,00</t>
  </si>
  <si>
    <t>Ternopil</t>
  </si>
  <si>
    <t>0,52</t>
  </si>
  <si>
    <t>104/173,33</t>
  </si>
  <si>
    <t>Chernihiv</t>
  </si>
  <si>
    <t>Sumy</t>
  </si>
  <si>
    <t>Lviv</t>
  </si>
  <si>
    <t>0,54</t>
  </si>
  <si>
    <t>108/180,00</t>
  </si>
  <si>
    <t>Zhytomyr</t>
  </si>
  <si>
    <t>Ivano-Frankivsk</t>
  </si>
  <si>
    <t>Rivne</t>
  </si>
  <si>
    <t>Volyn</t>
  </si>
  <si>
    <t>108/180,0</t>
  </si>
  <si>
    <t>Chernivtsi</t>
  </si>
  <si>
    <r>
      <rPr>
        <rFont val="Times New Roman"/>
        <color rgb="FF000000"/>
        <sz val="14.0"/>
      </rPr>
      <t xml:space="preserve">Cost* of straw, </t>
    </r>
    <r>
      <rPr>
        <rFont val="Times New Roman"/>
        <b/>
        <i/>
        <color rgb="FF000000"/>
        <sz val="16.0"/>
      </rPr>
      <t>m</t>
    </r>
    <r>
      <rPr>
        <rFont val="Times New Roman"/>
        <b/>
        <i/>
        <color rgb="FF000000"/>
        <sz val="16.0"/>
        <vertAlign val="subscript"/>
      </rPr>
      <t>с</t>
    </r>
    <r>
      <rPr>
        <rFont val="Times New Roman"/>
        <color rgb="FF000000"/>
        <sz val="16.0"/>
      </rPr>
      <t xml:space="preserve">,  </t>
    </r>
    <r>
      <rPr>
        <rFont val="Times New Roman"/>
        <b/>
        <i/>
        <color rgb="FF000000"/>
        <sz val="16.0"/>
      </rPr>
      <t>(UAH/м</t>
    </r>
    <r>
      <rPr>
        <rFont val="Times New Roman"/>
        <b/>
        <i/>
        <color rgb="FF000000"/>
        <sz val="13.0"/>
        <vertAlign val="superscript"/>
      </rPr>
      <t>2</t>
    </r>
    <r>
      <rPr>
        <rFont val="Times New Roman"/>
        <b/>
        <i/>
        <color rgb="FF000000"/>
        <sz val="16.0"/>
      </rPr>
      <t>)</t>
    </r>
  </si>
  <si>
    <r>
      <rPr>
        <rFont val="Times New Roman"/>
        <color rgb="FF000000"/>
        <sz val="14.0"/>
      </rPr>
      <t>Cost* of construction clay</t>
    </r>
    <r>
      <rPr>
        <rFont val="Times New Roman"/>
        <b/>
        <i/>
        <color rgb="FF000000"/>
        <sz val="16.0"/>
      </rPr>
      <t xml:space="preserve"> m</t>
    </r>
    <r>
      <rPr>
        <rFont val="Times New Roman"/>
        <b/>
        <i/>
        <color rgb="FF000000"/>
        <sz val="16.0"/>
        <vertAlign val="subscript"/>
      </rPr>
      <t xml:space="preserve">г   </t>
    </r>
    <r>
      <rPr>
        <rFont val="Calibri"/>
        <color rgb="FF000000"/>
        <sz val="14.0"/>
      </rPr>
      <t xml:space="preserve">
</t>
    </r>
    <r>
      <rPr>
        <rFont val="Times New Roman"/>
        <b/>
        <i/>
        <color rgb="FF000000"/>
        <sz val="16.0"/>
      </rPr>
      <t>(UAH/м</t>
    </r>
    <r>
      <rPr>
        <rFont val="Times New Roman"/>
        <b/>
        <i/>
        <color rgb="FF000000"/>
        <sz val="13.0"/>
        <vertAlign val="superscript"/>
      </rPr>
      <t>2</t>
    </r>
    <r>
      <rPr>
        <rFont val="Times New Roman"/>
        <b/>
        <i/>
        <color rgb="FF000000"/>
        <sz val="16.0"/>
      </rPr>
      <t>)</t>
    </r>
  </si>
  <si>
    <r>
      <rPr>
        <rFont val="Times New Roman"/>
        <color rgb="FF000000"/>
        <sz val="14.0"/>
      </rPr>
      <t>Cost* of construction clay</t>
    </r>
    <r>
      <rPr>
        <rFont val="Times New Roman"/>
        <b/>
        <i/>
        <color rgb="FF000000"/>
        <sz val="16.0"/>
      </rPr>
      <t xml:space="preserve"> m</t>
    </r>
    <r>
      <rPr>
        <rFont val="Times New Roman"/>
        <b/>
        <i/>
        <color rgb="FF000000"/>
        <sz val="16.0"/>
        <vertAlign val="subscript"/>
      </rPr>
      <t xml:space="preserve">г   </t>
    </r>
    <r>
      <rPr>
        <rFont val="Calibri"/>
        <color rgb="FF000000"/>
        <sz val="14.0"/>
      </rPr>
      <t xml:space="preserve">
</t>
    </r>
    <r>
      <rPr>
        <rFont val="Times New Roman"/>
        <b/>
        <i/>
        <color rgb="FF000000"/>
        <sz val="16.0"/>
      </rPr>
      <t>(UAH/м</t>
    </r>
    <r>
      <rPr>
        <rFont val="Times New Roman"/>
        <b/>
        <i/>
        <color rgb="FF000000"/>
        <sz val="13.0"/>
        <vertAlign val="superscript"/>
      </rPr>
      <t>2</t>
    </r>
    <r>
      <rPr>
        <rFont val="Times New Roman"/>
        <b/>
        <i/>
        <color rgb="FF000000"/>
        <sz val="16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</si>
</sst>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Helvetica Neue"/>
      <scheme val="minor"/>
    </font>
    <font>
      <sz val="12.0"/>
      <color rgb="FF000000"/>
      <name val="Helvetica Neue"/>
    </font>
    <font>
      <sz val="10.0"/>
      <color rgb="FF000000"/>
      <name val="Helvetica Neue"/>
    </font>
    <font>
      <b/>
      <sz val="10.0"/>
      <color rgb="FF000000"/>
      <name val="Helvetica Neue"/>
    </font>
    <font>
      <b/>
      <sz val="10.0"/>
      <color rgb="FFED220B"/>
      <name val="Helvetica Neue"/>
    </font>
    <font>
      <b/>
      <sz val="14.0"/>
      <color rgb="FF000000"/>
      <name val="Helvetica Neue"/>
    </font>
    <font>
      <b/>
      <sz val="14.0"/>
      <color rgb="FFED220B"/>
      <name val="Helvetica Neue"/>
    </font>
    <font>
      <sz val="14.0"/>
      <color rgb="FF000000"/>
      <name val="Times New Roman"/>
    </font>
    <font>
      <sz val="16.0"/>
      <color rgb="FF000000"/>
      <name val="Times New Roman"/>
    </font>
    <font>
      <color theme="1"/>
      <name val="Helvetica Neue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1" fillId="2" fontId="3" numFmtId="49" xfId="0" applyAlignment="1" applyBorder="1" applyFont="1" applyNumberFormat="1">
      <alignment shrinkToFit="0" vertical="top" wrapText="1"/>
    </xf>
    <xf borderId="1" fillId="2" fontId="4" numFmtId="49" xfId="0" applyAlignment="1" applyBorder="1" applyFont="1" applyNumberFormat="1">
      <alignment shrinkToFit="0" vertical="top" wrapText="1"/>
    </xf>
    <xf borderId="1" fillId="2" fontId="5" numFmtId="49" xfId="0" applyAlignment="1" applyBorder="1" applyFont="1" applyNumberFormat="1">
      <alignment shrinkToFit="0" vertical="top" wrapText="1"/>
    </xf>
    <xf borderId="1" fillId="2" fontId="6" numFmtId="49" xfId="0" applyAlignment="1" applyBorder="1" applyFont="1" applyNumberFormat="1">
      <alignment shrinkToFit="0" vertical="top" wrapText="1"/>
    </xf>
    <xf borderId="2" fillId="3" fontId="3" numFmtId="0" xfId="0" applyAlignment="1" applyBorder="1" applyFill="1" applyFont="1">
      <alignment shrinkToFit="0" vertical="top" wrapText="1"/>
    </xf>
    <xf borderId="3" fillId="0" fontId="7" numFmtId="49" xfId="0" applyAlignment="1" applyBorder="1" applyFont="1" applyNumberFormat="1">
      <alignment horizontal="left" shrinkToFit="0" vertical="top" wrapText="1"/>
    </xf>
    <xf borderId="4" fillId="0" fontId="8" numFmtId="49" xfId="0" applyAlignment="1" applyBorder="1" applyFont="1" applyNumberFormat="1">
      <alignment horizontal="left" shrinkToFit="0" vertical="top" wrapText="1"/>
    </xf>
    <xf borderId="4" fillId="0" fontId="8" numFmtId="2" xfId="0" applyAlignment="1" applyBorder="1" applyFont="1" applyNumberForma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readingOrder="0" shrinkToFit="0" vertical="top" wrapText="1"/>
    </xf>
    <xf borderId="5" fillId="3" fontId="3" numFmtId="0" xfId="0" applyAlignment="1" applyBorder="1" applyFont="1">
      <alignment shrinkToFit="0" vertical="top" wrapText="1"/>
    </xf>
    <xf borderId="6" fillId="0" fontId="7" numFmtId="49" xfId="0" applyAlignment="1" applyBorder="1" applyFont="1" applyNumberFormat="1">
      <alignment horizontal="left" shrinkToFit="0" vertical="top" wrapText="1"/>
    </xf>
    <xf borderId="7" fillId="0" fontId="8" numFmtId="49" xfId="0" applyAlignment="1" applyBorder="1" applyFont="1" applyNumberFormat="1">
      <alignment horizontal="left" shrinkToFit="0" vertical="top" wrapText="1"/>
    </xf>
    <xf borderId="7" fillId="0" fontId="8" numFmtId="2" xfId="0" applyAlignment="1" applyBorder="1" applyFont="1" applyNumberFormat="1">
      <alignment horizontal="left" shrinkToFit="0" vertical="top" wrapText="1"/>
    </xf>
    <xf borderId="7" fillId="0" fontId="8" numFmtId="0" xfId="0" applyAlignment="1" applyBorder="1" applyFont="1">
      <alignment horizontal="left" shrinkToFit="0" vertical="top" wrapText="1"/>
    </xf>
    <xf borderId="7" fillId="0" fontId="8" numFmtId="0" xfId="0" applyAlignment="1" applyBorder="1" applyFont="1">
      <alignment shrinkToFit="0" vertical="top" wrapText="1"/>
    </xf>
    <xf borderId="7" fillId="0" fontId="8" numFmtId="164" xfId="0" applyAlignment="1" applyBorder="1" applyFont="1" applyNumberFormat="1">
      <alignment horizontal="left" shrinkToFit="0" vertical="top" wrapText="1"/>
    </xf>
    <xf borderId="6" fillId="0" fontId="7" numFmtId="49" xfId="0" applyAlignment="1" applyBorder="1" applyFont="1" applyNumberFormat="1">
      <alignment horizontal="left" readingOrder="0" shrinkToFit="0" vertical="top" wrapText="1"/>
    </xf>
    <xf borderId="6" fillId="0" fontId="8" numFmtId="49" xfId="0" applyAlignment="1" applyBorder="1" applyFont="1" applyNumberFormat="1">
      <alignment horizontal="left" shrinkToFit="0" vertical="top" wrapText="1"/>
    </xf>
    <xf borderId="6" fillId="0" fontId="7" numFmtId="0" xfId="0" applyAlignment="1" applyBorder="1" applyFont="1">
      <alignment horizontal="center" shrinkToFit="0" vertical="top" wrapText="1"/>
    </xf>
    <xf borderId="7" fillId="0" fontId="7" numFmtId="0" xfId="0" applyAlignment="1" applyBorder="1" applyFont="1">
      <alignment horizontal="left" shrinkToFit="0" vertical="top" wrapText="1"/>
    </xf>
    <xf borderId="7" fillId="0" fontId="7" numFmtId="2" xfId="0" applyAlignment="1" applyBorder="1" applyFont="1" applyNumberFormat="1">
      <alignment horizontal="left" shrinkToFit="0" vertical="top" wrapText="1"/>
    </xf>
    <xf borderId="7" fillId="0" fontId="7" numFmtId="49" xfId="0" applyAlignment="1" applyBorder="1" applyFont="1" applyNumberFormat="1">
      <alignment horizontal="left" shrinkToFit="0" vertical="top" wrapText="1"/>
    </xf>
    <xf borderId="6" fillId="0" fontId="8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.14"/>
    <col customWidth="1" min="2" max="2" width="20.29"/>
    <col customWidth="1" min="3" max="11" width="16.29"/>
    <col customWidth="1" min="12" max="12" width="10.14"/>
    <col customWidth="1" min="13" max="13" width="16.0"/>
    <col customWidth="1" min="14" max="26" width="16.29"/>
  </cols>
  <sheetData>
    <row r="1" ht="27.0" customHeight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94.5" customHeight="1">
      <c r="A2" s="3"/>
      <c r="B2" s="4" t="s">
        <v>1</v>
      </c>
      <c r="C2" s="4" t="s">
        <v>2</v>
      </c>
      <c r="D2" s="4" t="s">
        <v>3</v>
      </c>
      <c r="E2" s="3"/>
      <c r="F2" s="3"/>
      <c r="G2" s="3"/>
      <c r="H2" s="3"/>
      <c r="I2" s="3"/>
      <c r="J2" s="4" t="s">
        <v>4</v>
      </c>
      <c r="K2" s="4" t="s">
        <v>5</v>
      </c>
      <c r="L2" s="5" t="s">
        <v>6</v>
      </c>
      <c r="M2" s="4" t="s">
        <v>7</v>
      </c>
      <c r="N2" s="4" t="s">
        <v>8</v>
      </c>
      <c r="O2" s="6" t="s">
        <v>9</v>
      </c>
      <c r="P2" s="7" t="s">
        <v>10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8"/>
      <c r="B3" s="9" t="s">
        <v>11</v>
      </c>
      <c r="C3" s="10" t="s">
        <v>12</v>
      </c>
      <c r="D3" s="11">
        <v>2433.6</v>
      </c>
      <c r="E3" s="10" t="s">
        <v>13</v>
      </c>
      <c r="F3" s="12">
        <v>68.0</v>
      </c>
      <c r="G3" s="12">
        <v>272.0</v>
      </c>
      <c r="H3" s="12">
        <v>114.24</v>
      </c>
      <c r="I3" s="12">
        <f t="array" ref="I3">G3/H3</f>
        <v>2.380952381</v>
      </c>
      <c r="J3" s="12">
        <v>227.57</v>
      </c>
      <c r="K3" s="12">
        <v>10.0</v>
      </c>
      <c r="L3" s="12">
        <f t="array" ref="L3">F3*0.0046*K3</f>
        <v>3.128</v>
      </c>
      <c r="M3" s="13">
        <v>3.13</v>
      </c>
      <c r="N3" s="14">
        <v>2.28</v>
      </c>
      <c r="O3" s="12">
        <f t="array" ref="O3">SUM(J3,M3,N5)</f>
        <v>232.98</v>
      </c>
      <c r="P3" s="12">
        <f t="array" ref="P3">SUM(J3,L3,N5)</f>
        <v>232.978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15"/>
      <c r="B4" s="16" t="s">
        <v>14</v>
      </c>
      <c r="C4" s="17" t="s">
        <v>12</v>
      </c>
      <c r="D4" s="18">
        <v>1107.1</v>
      </c>
      <c r="E4" s="17" t="s">
        <v>13</v>
      </c>
      <c r="F4" s="19">
        <v>68.0</v>
      </c>
      <c r="G4" s="19">
        <v>272.0</v>
      </c>
      <c r="H4" s="19">
        <v>114.24</v>
      </c>
      <c r="I4" s="19">
        <f t="array" ref="I4">G4/H4</f>
        <v>2.380952381</v>
      </c>
      <c r="J4" s="19">
        <v>227.57</v>
      </c>
      <c r="K4" s="19">
        <v>10.0</v>
      </c>
      <c r="L4" s="19">
        <f t="array" ref="L4">F4*0.0046*K4</f>
        <v>3.128</v>
      </c>
      <c r="M4" s="19">
        <v>3.13</v>
      </c>
      <c r="N4" s="14">
        <v>2.28</v>
      </c>
      <c r="O4" s="19">
        <f t="array" ref="O4">SUM(J4,M4,N6)</f>
        <v>232.98</v>
      </c>
      <c r="P4" s="19">
        <f t="array" ref="P4">SUM(J4,L4,N6)</f>
        <v>232.978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5"/>
      <c r="B5" s="16" t="s">
        <v>15</v>
      </c>
      <c r="C5" s="17" t="s">
        <v>12</v>
      </c>
      <c r="D5" s="19">
        <v>1859.3</v>
      </c>
      <c r="E5" s="17" t="s">
        <v>13</v>
      </c>
      <c r="F5" s="19">
        <v>68.0</v>
      </c>
      <c r="G5" s="19">
        <v>272.0</v>
      </c>
      <c r="H5" s="19">
        <v>114.24</v>
      </c>
      <c r="I5" s="19">
        <f t="array" ref="I5">G5/H5</f>
        <v>2.380952381</v>
      </c>
      <c r="J5" s="19">
        <v>227.57</v>
      </c>
      <c r="K5" s="19">
        <v>10.0</v>
      </c>
      <c r="L5" s="19">
        <f t="array" ref="L5">F5*0.0046*K5</f>
        <v>3.128</v>
      </c>
      <c r="M5" s="20">
        <v>3.13</v>
      </c>
      <c r="N5" s="12">
        <v>2.28</v>
      </c>
      <c r="O5" s="19" t="str">
        <f t="array" ref="O5">SUM(J5,M5,#REF!)</f>
        <v>#REF!</v>
      </c>
      <c r="P5" s="19" t="str">
        <f t="array" ref="P5">SUM(J5,L5,#REF!)</f>
        <v>#REF!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15"/>
      <c r="B6" s="16" t="s">
        <v>16</v>
      </c>
      <c r="C6" s="17" t="s">
        <v>12</v>
      </c>
      <c r="D6" s="19">
        <v>2414.6</v>
      </c>
      <c r="E6" s="17" t="s">
        <v>13</v>
      </c>
      <c r="F6" s="19">
        <v>68.0</v>
      </c>
      <c r="G6" s="19">
        <v>272.0</v>
      </c>
      <c r="H6" s="19">
        <v>114.24</v>
      </c>
      <c r="I6" s="19">
        <f t="array" ref="I6">G6/H6</f>
        <v>2.380952381</v>
      </c>
      <c r="J6" s="19">
        <v>227.57</v>
      </c>
      <c r="K6" s="19">
        <v>10.0</v>
      </c>
      <c r="L6" s="19">
        <f t="array" ref="L6">F6*0.0046*K6</f>
        <v>3.128</v>
      </c>
      <c r="M6" s="19">
        <v>3.13</v>
      </c>
      <c r="N6" s="19">
        <v>2.28</v>
      </c>
      <c r="O6" s="19" t="str">
        <f t="array" ref="O6">SUM(J6,M6,#REF!)</f>
        <v>#REF!</v>
      </c>
      <c r="P6" s="19" t="str">
        <f t="array" ref="P6">SUM(J6,L6,#REF!)</f>
        <v>#REF!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/>
      <c r="B7" s="16" t="s">
        <v>17</v>
      </c>
      <c r="C7" s="17" t="s">
        <v>12</v>
      </c>
      <c r="D7" s="19">
        <v>1395.1</v>
      </c>
      <c r="E7" s="17" t="s">
        <v>13</v>
      </c>
      <c r="F7" s="19">
        <v>68.0</v>
      </c>
      <c r="G7" s="19">
        <v>272.0</v>
      </c>
      <c r="H7" s="19">
        <v>114.24</v>
      </c>
      <c r="I7" s="19">
        <f t="array" ref="I7">G7/H7</f>
        <v>2.380952381</v>
      </c>
      <c r="J7" s="19">
        <v>227.57</v>
      </c>
      <c r="K7" s="19">
        <v>10.0</v>
      </c>
      <c r="L7" s="19">
        <f t="array" ref="L7">F7*0.0046*K7</f>
        <v>3.128</v>
      </c>
      <c r="M7" s="19">
        <v>3.13</v>
      </c>
      <c r="N7" s="19">
        <v>2.28</v>
      </c>
      <c r="O7" s="19">
        <f t="array" ref="O7">SUM(J7,M7,N7)</f>
        <v>232.98</v>
      </c>
      <c r="P7" s="19">
        <f t="array" ref="P7">SUM(J7,L7,N7)</f>
        <v>232.978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15"/>
      <c r="B8" s="16" t="s">
        <v>18</v>
      </c>
      <c r="C8" s="17" t="s">
        <v>12</v>
      </c>
      <c r="D8" s="18">
        <v>536.5</v>
      </c>
      <c r="E8" s="17" t="s">
        <v>13</v>
      </c>
      <c r="F8" s="19">
        <v>68.0</v>
      </c>
      <c r="G8" s="19">
        <v>272.0</v>
      </c>
      <c r="H8" s="19">
        <v>114.24</v>
      </c>
      <c r="I8" s="19">
        <f t="array" ref="I8">G8/H8</f>
        <v>2.380952381</v>
      </c>
      <c r="J8" s="19">
        <v>227.57</v>
      </c>
      <c r="K8" s="19">
        <v>85.15</v>
      </c>
      <c r="L8" s="19">
        <f t="array" ref="L8">F8*0.0046*K8</f>
        <v>26.63492</v>
      </c>
      <c r="M8" s="19">
        <v>46.95</v>
      </c>
      <c r="N8" s="19">
        <v>2.28</v>
      </c>
      <c r="O8" s="19">
        <f t="array" ref="O8">SUM(J8,M8,N8)</f>
        <v>276.8</v>
      </c>
      <c r="P8" s="19">
        <f t="array" ref="P8">SUM(J8,L8,N8)</f>
        <v>256.48492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15"/>
      <c r="B9" s="16" t="s">
        <v>19</v>
      </c>
      <c r="C9" s="17" t="s">
        <v>20</v>
      </c>
      <c r="D9" s="19">
        <v>1458.6</v>
      </c>
      <c r="E9" s="17" t="s">
        <v>21</v>
      </c>
      <c r="F9" s="19">
        <v>80.0</v>
      </c>
      <c r="G9" s="19">
        <v>320.0</v>
      </c>
      <c r="H9" s="18">
        <v>134.4</v>
      </c>
      <c r="I9" s="19">
        <f t="array" ref="I9">G9/H9</f>
        <v>2.380952381</v>
      </c>
      <c r="J9" s="19">
        <v>267.73</v>
      </c>
      <c r="K9" s="19">
        <v>10.0</v>
      </c>
      <c r="L9" s="19">
        <f t="array" ref="L9">F9*0.0046*K9</f>
        <v>3.68</v>
      </c>
      <c r="M9" s="19">
        <v>3.68</v>
      </c>
      <c r="N9" s="19">
        <v>2.68</v>
      </c>
      <c r="O9" s="19">
        <f t="array" ref="O9">SUM(J9,M9,N9)</f>
        <v>274.09</v>
      </c>
      <c r="P9" s="19">
        <f t="array" ref="P9">SUM(J9,L9,N9)</f>
        <v>274.09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15"/>
      <c r="B10" s="16" t="s">
        <v>22</v>
      </c>
      <c r="C10" s="17" t="s">
        <v>20</v>
      </c>
      <c r="D10" s="18">
        <v>1043.5</v>
      </c>
      <c r="E10" s="17" t="s">
        <v>21</v>
      </c>
      <c r="F10" s="19">
        <v>80.0</v>
      </c>
      <c r="G10" s="19">
        <v>320.0</v>
      </c>
      <c r="H10" s="18">
        <v>134.4</v>
      </c>
      <c r="I10" s="19">
        <f t="array" ref="I10">G10/H10</f>
        <v>2.380952381</v>
      </c>
      <c r="J10" s="19">
        <v>267.73</v>
      </c>
      <c r="K10" s="19">
        <v>10.0</v>
      </c>
      <c r="L10" s="19">
        <f t="array" ref="L10">F10*0.0046*K10</f>
        <v>3.68</v>
      </c>
      <c r="M10" s="19">
        <v>3.68</v>
      </c>
      <c r="N10" s="19">
        <v>2.68</v>
      </c>
      <c r="O10" s="19">
        <f t="array" ref="O10">SUM(J10,M10,N10)</f>
        <v>274.09</v>
      </c>
      <c r="P10" s="19">
        <f t="array" ref="P10">SUM(J10,L10,N10)</f>
        <v>274.09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15"/>
      <c r="B11" s="16" t="s">
        <v>23</v>
      </c>
      <c r="C11" s="17" t="s">
        <v>20</v>
      </c>
      <c r="D11" s="18">
        <v>1401.7</v>
      </c>
      <c r="E11" s="17" t="s">
        <v>21</v>
      </c>
      <c r="F11" s="19">
        <v>80.0</v>
      </c>
      <c r="G11" s="19">
        <v>320.0</v>
      </c>
      <c r="H11" s="18">
        <v>134.4</v>
      </c>
      <c r="I11" s="19">
        <f t="array" ref="I11">G11/H11</f>
        <v>2.380952381</v>
      </c>
      <c r="J11" s="19">
        <v>267.73</v>
      </c>
      <c r="K11" s="19">
        <v>10.0</v>
      </c>
      <c r="L11" s="19">
        <f t="array" ref="L11">F11*0.0046*K11</f>
        <v>3.68</v>
      </c>
      <c r="M11" s="19">
        <v>3.68</v>
      </c>
      <c r="N11" s="19">
        <v>2.68</v>
      </c>
      <c r="O11" s="19">
        <f t="array" ref="O11">SUM(J11,M11,N11)</f>
        <v>274.09</v>
      </c>
      <c r="P11" s="19">
        <f t="array" ref="P11">SUM(J11,L11,N11)</f>
        <v>274.09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15"/>
      <c r="B12" s="16" t="s">
        <v>24</v>
      </c>
      <c r="C12" s="17" t="s">
        <v>20</v>
      </c>
      <c r="D12" s="19">
        <v>890.7</v>
      </c>
      <c r="E12" s="17" t="s">
        <v>21</v>
      </c>
      <c r="F12" s="19">
        <v>80.0</v>
      </c>
      <c r="G12" s="19">
        <v>320.0</v>
      </c>
      <c r="H12" s="18">
        <v>134.4</v>
      </c>
      <c r="I12" s="19">
        <f t="array" ref="I12">G12/H12</f>
        <v>2.380952381</v>
      </c>
      <c r="J12" s="19">
        <v>267.73</v>
      </c>
      <c r="K12" s="19">
        <v>10.0</v>
      </c>
      <c r="L12" s="19">
        <f t="array" ref="L12">F12*0.0046*K12</f>
        <v>3.68</v>
      </c>
      <c r="M12" s="19">
        <v>3.68</v>
      </c>
      <c r="N12" s="19">
        <v>2.68</v>
      </c>
      <c r="O12" s="19">
        <f t="array" ref="O12">SUM(J12,M12,N12)</f>
        <v>274.09</v>
      </c>
      <c r="P12" s="19">
        <f t="array" ref="P12">SUM(J12,L12,N12)</f>
        <v>274.09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15"/>
      <c r="B13" s="16" t="s">
        <v>25</v>
      </c>
      <c r="C13" s="17" t="s">
        <v>20</v>
      </c>
      <c r="D13" s="19">
        <v>817.7</v>
      </c>
      <c r="E13" s="17" t="s">
        <v>21</v>
      </c>
      <c r="F13" s="19">
        <v>80.0</v>
      </c>
      <c r="G13" s="19">
        <v>320.0</v>
      </c>
      <c r="H13" s="18">
        <v>134.4</v>
      </c>
      <c r="I13" s="19">
        <f t="array" ref="I13">G13/H13</f>
        <v>2.380952381</v>
      </c>
      <c r="J13" s="19">
        <v>267.73</v>
      </c>
      <c r="K13" s="19">
        <v>10.0</v>
      </c>
      <c r="L13" s="19">
        <f t="array" ref="L13">F13*0.0046*K13</f>
        <v>3.68</v>
      </c>
      <c r="M13" s="19">
        <v>3.68</v>
      </c>
      <c r="N13" s="19">
        <v>2.68</v>
      </c>
      <c r="O13" s="19">
        <f t="array" ref="O13">SUM(J13,M13,N13)</f>
        <v>274.09</v>
      </c>
      <c r="P13" s="19">
        <f t="array" ref="P13">SUM(J13,L13,N13)</f>
        <v>274.09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15"/>
      <c r="B14" s="16" t="s">
        <v>26</v>
      </c>
      <c r="C14" s="17" t="s">
        <v>27</v>
      </c>
      <c r="D14" s="21">
        <v>1870.0</v>
      </c>
      <c r="E14" s="17" t="s">
        <v>28</v>
      </c>
      <c r="F14" s="19">
        <v>90.0</v>
      </c>
      <c r="G14" s="19">
        <v>360.0</v>
      </c>
      <c r="H14" s="18">
        <v>151.2</v>
      </c>
      <c r="I14" s="19">
        <f t="array" ref="I14">G14/H14</f>
        <v>2.380952381</v>
      </c>
      <c r="J14" s="18">
        <v>301.2</v>
      </c>
      <c r="K14" s="19">
        <v>10.0</v>
      </c>
      <c r="L14" s="19">
        <f t="array" ref="L14">F14*0.0046*K14</f>
        <v>4.14</v>
      </c>
      <c r="M14" s="19">
        <v>4.14</v>
      </c>
      <c r="N14" s="19">
        <v>3.01</v>
      </c>
      <c r="O14" s="18">
        <f t="array" ref="O14">SUM(J14,M14,N14)</f>
        <v>308.35</v>
      </c>
      <c r="P14" s="18">
        <f t="array" ref="P14">SUM(J14,L14,N14)</f>
        <v>308.35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15"/>
      <c r="B15" s="16" t="s">
        <v>29</v>
      </c>
      <c r="C15" s="17" t="s">
        <v>27</v>
      </c>
      <c r="D15" s="19">
        <v>954.2</v>
      </c>
      <c r="E15" s="17" t="s">
        <v>28</v>
      </c>
      <c r="F15" s="19">
        <v>90.0</v>
      </c>
      <c r="G15" s="19">
        <v>360.0</v>
      </c>
      <c r="H15" s="18">
        <v>151.2</v>
      </c>
      <c r="I15" s="19">
        <f t="array" ref="I15">G15/H15</f>
        <v>2.380952381</v>
      </c>
      <c r="J15" s="18">
        <v>301.2</v>
      </c>
      <c r="K15" s="19">
        <v>10.0</v>
      </c>
      <c r="L15" s="19">
        <f t="array" ref="L15">F15*0.0046*K15</f>
        <v>4.14</v>
      </c>
      <c r="M15" s="19">
        <v>4.14</v>
      </c>
      <c r="N15" s="19">
        <v>3.01</v>
      </c>
      <c r="O15" s="18">
        <f t="array" ref="O15">SUM(J15,M15,N15)</f>
        <v>308.35</v>
      </c>
      <c r="P15" s="18">
        <f t="array" ref="P15">SUM(J15,L15,N15)</f>
        <v>308.35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15"/>
      <c r="B16" s="16" t="s">
        <v>30</v>
      </c>
      <c r="C16" s="17" t="s">
        <v>20</v>
      </c>
      <c r="D16" s="18">
        <v>695.8</v>
      </c>
      <c r="E16" s="17" t="s">
        <v>21</v>
      </c>
      <c r="F16" s="19">
        <v>80.0</v>
      </c>
      <c r="G16" s="19">
        <v>320.0</v>
      </c>
      <c r="H16" s="18">
        <v>134.4</v>
      </c>
      <c r="I16" s="19">
        <f t="array" ref="I16">G16/H16</f>
        <v>2.380952381</v>
      </c>
      <c r="J16" s="19">
        <v>267.73</v>
      </c>
      <c r="K16" s="19">
        <v>155.04</v>
      </c>
      <c r="L16" s="19">
        <f t="array" ref="L16">F16*0.0046*K16</f>
        <v>57.05472</v>
      </c>
      <c r="M16" s="19">
        <v>55.2</v>
      </c>
      <c r="N16" s="19">
        <v>2.68</v>
      </c>
      <c r="O16" s="19">
        <f t="array" ref="O16">SUM(J16,M16,N16)</f>
        <v>325.61</v>
      </c>
      <c r="P16" s="19">
        <f t="array" ref="P16">SUM(J16,L16,N16)</f>
        <v>327.46472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15"/>
      <c r="B17" s="16" t="s">
        <v>31</v>
      </c>
      <c r="C17" s="17" t="s">
        <v>32</v>
      </c>
      <c r="D17" s="18">
        <v>780.4</v>
      </c>
      <c r="E17" s="17" t="s">
        <v>33</v>
      </c>
      <c r="F17" s="19">
        <v>102.0</v>
      </c>
      <c r="G17" s="19">
        <v>408.0</v>
      </c>
      <c r="H17" s="19">
        <v>171.36</v>
      </c>
      <c r="I17" s="19">
        <f t="array" ref="I17">G17/H17</f>
        <v>2.380952381</v>
      </c>
      <c r="J17" s="19">
        <v>341.36</v>
      </c>
      <c r="K17" s="19">
        <v>10.0</v>
      </c>
      <c r="L17" s="19">
        <f t="array" ref="L17">F17*0.0046*K17</f>
        <v>4.692</v>
      </c>
      <c r="M17" s="19">
        <v>4.69</v>
      </c>
      <c r="N17" s="19">
        <v>3.42</v>
      </c>
      <c r="O17" s="19">
        <f t="array" ref="O17">SUM(J17,M17,N17)</f>
        <v>349.47</v>
      </c>
      <c r="P17" s="19">
        <f t="array" ref="P17">SUM(J17,L17,N17)</f>
        <v>349.472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15"/>
      <c r="B18" s="16" t="s">
        <v>34</v>
      </c>
      <c r="C18" s="17" t="s">
        <v>35</v>
      </c>
      <c r="D18" s="19">
        <v>849.1</v>
      </c>
      <c r="E18" s="17" t="s">
        <v>36</v>
      </c>
      <c r="F18" s="19">
        <v>104.0</v>
      </c>
      <c r="G18" s="19">
        <v>416.0</v>
      </c>
      <c r="H18" s="19">
        <v>174.72</v>
      </c>
      <c r="I18" s="19">
        <f t="array" ref="I18">G18/H18</f>
        <v>2.380952381</v>
      </c>
      <c r="J18" s="19">
        <v>348.05</v>
      </c>
      <c r="K18" s="19">
        <v>10.0</v>
      </c>
      <c r="L18" s="19">
        <f t="array" ref="L18">F18*0.0046*K18</f>
        <v>4.784</v>
      </c>
      <c r="M18" s="19">
        <v>4.78</v>
      </c>
      <c r="N18" s="19">
        <v>3.48</v>
      </c>
      <c r="O18" s="19">
        <f t="array" ref="O18">SUM(J18,M18,N18)</f>
        <v>356.31</v>
      </c>
      <c r="P18" s="19">
        <f t="array" ref="P18">SUM(J18,L18,N18)</f>
        <v>356.314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15"/>
      <c r="B19" s="22" t="s">
        <v>37</v>
      </c>
      <c r="C19" s="17" t="s">
        <v>32</v>
      </c>
      <c r="D19" s="19">
        <v>588.4</v>
      </c>
      <c r="E19" s="17" t="s">
        <v>33</v>
      </c>
      <c r="F19" s="19">
        <v>102.0</v>
      </c>
      <c r="G19" s="19">
        <v>408.0</v>
      </c>
      <c r="H19" s="19">
        <v>171.36</v>
      </c>
      <c r="I19" s="19">
        <f t="array" ref="I19">G19/H19</f>
        <v>2.380952381</v>
      </c>
      <c r="J19" s="19">
        <v>341.36</v>
      </c>
      <c r="K19" s="19">
        <v>148.35</v>
      </c>
      <c r="L19" s="19">
        <f t="array" ref="L19">F19*0.0046*K19</f>
        <v>69.60582</v>
      </c>
      <c r="M19" s="19">
        <v>70.35</v>
      </c>
      <c r="N19" s="19">
        <v>3.41</v>
      </c>
      <c r="O19" s="19">
        <f t="array" ref="O19">SUM(J19,M19,N19)</f>
        <v>415.12</v>
      </c>
      <c r="P19" s="19">
        <f t="array" ref="P19">SUM(J19,L19,N19)</f>
        <v>414.37582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15"/>
      <c r="B20" s="16" t="s">
        <v>38</v>
      </c>
      <c r="C20" s="17" t="s">
        <v>32</v>
      </c>
      <c r="D20" s="19">
        <v>615.7</v>
      </c>
      <c r="E20" s="17" t="s">
        <v>33</v>
      </c>
      <c r="F20" s="19">
        <v>102.0</v>
      </c>
      <c r="G20" s="19">
        <v>408.0</v>
      </c>
      <c r="H20" s="19">
        <v>171.36</v>
      </c>
      <c r="I20" s="19">
        <f t="array" ref="I20">G20/H20</f>
        <v>2.380952381</v>
      </c>
      <c r="J20" s="19">
        <v>341.36</v>
      </c>
      <c r="K20" s="19">
        <v>176.47</v>
      </c>
      <c r="L20" s="19">
        <f t="array" ref="L20">F20*0.0046*K20</f>
        <v>82.799724</v>
      </c>
      <c r="M20" s="19">
        <v>70.35</v>
      </c>
      <c r="N20" s="19">
        <v>3.41</v>
      </c>
      <c r="O20" s="19">
        <f t="array" ref="O20">SUM(J20,M20,N20)</f>
        <v>415.12</v>
      </c>
      <c r="P20" s="19">
        <f t="array" ref="P20">SUM(J20,L20,N20)</f>
        <v>427.569724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15"/>
      <c r="B21" s="16" t="s">
        <v>39</v>
      </c>
      <c r="C21" s="17" t="s">
        <v>40</v>
      </c>
      <c r="D21" s="19">
        <v>587.6</v>
      </c>
      <c r="E21" s="17" t="s">
        <v>41</v>
      </c>
      <c r="F21" s="19">
        <v>108.0</v>
      </c>
      <c r="G21" s="19">
        <v>432.0</v>
      </c>
      <c r="H21" s="19">
        <v>181.44</v>
      </c>
      <c r="I21" s="19">
        <f t="array" ref="I21">G21/H21</f>
        <v>2.380952381</v>
      </c>
      <c r="J21" s="19">
        <v>361.44</v>
      </c>
      <c r="K21" s="19">
        <v>127.77</v>
      </c>
      <c r="L21" s="19">
        <f t="array" ref="L21">F21*0.0046*K21</f>
        <v>63.476136</v>
      </c>
      <c r="M21" s="19">
        <v>74.55</v>
      </c>
      <c r="N21" s="19">
        <v>3.61</v>
      </c>
      <c r="O21" s="19">
        <f t="array" ref="O21">SUM(J21,M21,N21)</f>
        <v>439.6</v>
      </c>
      <c r="P21" s="19">
        <f t="array" ref="P21">SUM(J21,L21,N21)</f>
        <v>428.526136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15"/>
      <c r="B22" s="16" t="s">
        <v>42</v>
      </c>
      <c r="C22" s="17" t="s">
        <v>40</v>
      </c>
      <c r="D22" s="18">
        <v>521.8</v>
      </c>
      <c r="E22" s="17" t="s">
        <v>41</v>
      </c>
      <c r="F22" s="19">
        <v>108.0</v>
      </c>
      <c r="G22" s="19">
        <v>432.0</v>
      </c>
      <c r="H22" s="19">
        <v>181.44</v>
      </c>
      <c r="I22" s="19">
        <f t="array" ref="I22">G22/H22</f>
        <v>2.380952381</v>
      </c>
      <c r="J22" s="19">
        <v>361.44</v>
      </c>
      <c r="K22" s="19">
        <v>127.81</v>
      </c>
      <c r="L22" s="19">
        <f t="array" ref="L22">F22*0.0046*K22</f>
        <v>63.496008</v>
      </c>
      <c r="M22" s="19">
        <v>74.55</v>
      </c>
      <c r="N22" s="19">
        <v>3.61</v>
      </c>
      <c r="O22" s="19">
        <f t="array" ref="O22">SUM(J22,M22,N22)</f>
        <v>439.6</v>
      </c>
      <c r="P22" s="19">
        <f t="array" ref="P22">SUM(J22,L22,N22)</f>
        <v>428.546008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15"/>
      <c r="B23" s="23" t="s">
        <v>43</v>
      </c>
      <c r="C23" s="17" t="s">
        <v>40</v>
      </c>
      <c r="D23" s="18">
        <v>201.5</v>
      </c>
      <c r="E23" s="17" t="s">
        <v>41</v>
      </c>
      <c r="F23" s="19">
        <v>108.0</v>
      </c>
      <c r="G23" s="19">
        <v>432.0</v>
      </c>
      <c r="H23" s="19">
        <v>181.44</v>
      </c>
      <c r="I23" s="19">
        <f t="array" ref="I23">G23/H23</f>
        <v>2.380952381</v>
      </c>
      <c r="J23" s="19">
        <v>361.44</v>
      </c>
      <c r="K23" s="19">
        <v>132.38</v>
      </c>
      <c r="L23" s="19">
        <f t="array" ref="L23">F23*0.0046*K23</f>
        <v>65.766384</v>
      </c>
      <c r="M23" s="19">
        <v>74.55</v>
      </c>
      <c r="N23" s="19">
        <v>3.61</v>
      </c>
      <c r="O23" s="19">
        <f t="array" ref="O23">SUM(J23,M23,N23)</f>
        <v>439.6</v>
      </c>
      <c r="P23" s="19">
        <f t="array" ref="P23">SUM(J23,L23,N23)</f>
        <v>430.816384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15"/>
      <c r="B24" s="22" t="s">
        <v>44</v>
      </c>
      <c r="C24" s="17" t="s">
        <v>40</v>
      </c>
      <c r="D24" s="21">
        <v>415.0</v>
      </c>
      <c r="E24" s="17" t="s">
        <v>41</v>
      </c>
      <c r="F24" s="19">
        <v>108.0</v>
      </c>
      <c r="G24" s="19">
        <v>432.0</v>
      </c>
      <c r="H24" s="19">
        <v>181.44</v>
      </c>
      <c r="I24" s="19">
        <f t="array" ref="I24">G24/H24</f>
        <v>2.380952381</v>
      </c>
      <c r="J24" s="19">
        <v>361.44</v>
      </c>
      <c r="K24" s="19">
        <v>159.94</v>
      </c>
      <c r="L24" s="19">
        <f t="array" ref="L24">F24*0.0046*K24</f>
        <v>79.458192</v>
      </c>
      <c r="M24" s="19">
        <v>74.55</v>
      </c>
      <c r="N24" s="19">
        <v>3.61</v>
      </c>
      <c r="O24" s="19">
        <f t="array" ref="O24">SUM(J24,M24,N24)</f>
        <v>439.6</v>
      </c>
      <c r="P24" s="19">
        <f t="array" ref="P24">SUM(J24,L24,N24)</f>
        <v>444.508192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15"/>
      <c r="B25" s="16" t="s">
        <v>45</v>
      </c>
      <c r="C25" s="17" t="s">
        <v>40</v>
      </c>
      <c r="D25" s="18">
        <v>550.0</v>
      </c>
      <c r="E25" s="17" t="s">
        <v>46</v>
      </c>
      <c r="F25" s="19">
        <v>108.0</v>
      </c>
      <c r="G25" s="19">
        <v>432.0</v>
      </c>
      <c r="H25" s="19">
        <v>181.44</v>
      </c>
      <c r="I25" s="19">
        <f t="array" ref="I25">G25/H25</f>
        <v>2.380952381</v>
      </c>
      <c r="J25" s="19">
        <v>361.44</v>
      </c>
      <c r="K25" s="19">
        <v>168.35</v>
      </c>
      <c r="L25" s="19">
        <f t="array" ref="L25">F25*0.0046*K25</f>
        <v>83.63628</v>
      </c>
      <c r="M25" s="19">
        <v>74.55</v>
      </c>
      <c r="N25" s="19">
        <v>3.61</v>
      </c>
      <c r="O25" s="19">
        <f t="array" ref="O25">SUM(J25,M25,N25)</f>
        <v>439.6</v>
      </c>
      <c r="P25" s="19">
        <f t="array" ref="P25">SUM(J25,L25,N25)</f>
        <v>448.68628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15"/>
      <c r="B26" s="16" t="s">
        <v>47</v>
      </c>
      <c r="C26" s="17" t="s">
        <v>40</v>
      </c>
      <c r="D26" s="19">
        <v>140.6</v>
      </c>
      <c r="E26" s="17" t="s">
        <v>41</v>
      </c>
      <c r="F26" s="19">
        <v>108.0</v>
      </c>
      <c r="G26" s="19">
        <v>432.0</v>
      </c>
      <c r="H26" s="19">
        <v>181.44</v>
      </c>
      <c r="I26" s="19">
        <f t="array" ref="I26">G26/H26</f>
        <v>2.380952381</v>
      </c>
      <c r="J26" s="19">
        <v>361.44</v>
      </c>
      <c r="K26" s="19">
        <v>171.03</v>
      </c>
      <c r="L26" s="19">
        <f t="array" ref="L26">F26*0.0046*K26</f>
        <v>84.967704</v>
      </c>
      <c r="M26" s="19">
        <v>74.55</v>
      </c>
      <c r="N26" s="19">
        <v>3.61</v>
      </c>
      <c r="O26" s="19">
        <f t="array" ref="O26">SUM(J26,M26,N26)</f>
        <v>439.6</v>
      </c>
      <c r="P26" s="19">
        <f t="array" ref="P26">SUM(J26,L26,N26)</f>
        <v>450.017704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82.5" customHeight="1">
      <c r="A27" s="15"/>
      <c r="B27" s="24"/>
      <c r="C27" s="25"/>
      <c r="D27" s="26">
        <f t="array" ref="D27">SUM(D3:D26)</f>
        <v>24128.5</v>
      </c>
      <c r="E27" s="27" t="s">
        <v>48</v>
      </c>
      <c r="F27" s="25"/>
      <c r="G27" s="27" t="s">
        <v>49</v>
      </c>
      <c r="H27" s="27" t="s">
        <v>50</v>
      </c>
      <c r="I27" s="25"/>
      <c r="J27" s="25"/>
      <c r="K27" s="25"/>
      <c r="L27" s="25"/>
      <c r="M27" s="25"/>
      <c r="N27" s="25"/>
      <c r="O27" s="25"/>
      <c r="P27" s="25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15"/>
      <c r="B28" s="28"/>
      <c r="C28" s="20"/>
      <c r="D28" s="20"/>
      <c r="E28" s="20">
        <v>4.0</v>
      </c>
      <c r="F28" s="20"/>
      <c r="G28" s="20">
        <v>5.0</v>
      </c>
      <c r="H28" s="20">
        <v>5.0</v>
      </c>
      <c r="I28" s="20"/>
      <c r="J28" s="20"/>
      <c r="K28" s="20"/>
      <c r="L28" s="20"/>
      <c r="M28" s="20"/>
      <c r="N28" s="20"/>
      <c r="O28" s="20"/>
      <c r="P28" s="20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P1"/>
  </mergeCells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